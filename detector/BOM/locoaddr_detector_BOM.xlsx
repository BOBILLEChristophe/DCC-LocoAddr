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40" yWindow="4780" windowWidth="27640" windowHeight="1694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81029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2"/>
      <scheme val="minor"/>
    </font>
    <font>
      <name val="Arial"/>
      <family val="2"/>
      <b val="1"/>
      <sz val="14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color rgb="FF0070C0"/>
      <sz val="10"/>
    </font>
  </fonts>
  <fills count="4">
    <fill>
      <patternFill/>
    </fill>
    <fill>
      <patternFill patternType="gray125"/>
    </fill>
    <fill>
      <patternFill patternType="solid">
        <fgColor rgb="FF305496"/>
        <bgColor rgb="FF595959"/>
      </patternFill>
    </fill>
    <fill>
      <patternFill patternType="solid">
        <fgColor rgb="FFE7E6E6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5"/>
  <sheetViews>
    <sheetView tabSelected="1" topLeftCell="A2" workbookViewId="0">
      <selection activeCell="J40" sqref="J40"/>
    </sheetView>
  </sheetViews>
  <sheetFormatPr baseColWidth="10" defaultRowHeight="16"/>
  <cols>
    <col width="25.5" customWidth="1" min="1" max="1"/>
    <col width="8.6640625" bestFit="1" customWidth="1" min="2" max="2"/>
    <col width="27" bestFit="1" customWidth="1" min="3" max="3"/>
    <col width="31.83203125" customWidth="1" min="4" max="4"/>
    <col width="7.33203125" bestFit="1" customWidth="1" min="5" max="5"/>
    <col width="34.33203125" customWidth="1" min="6" max="6"/>
  </cols>
  <sheetData>
    <row r="1" ht="25" customHeight="1">
      <c r="A1" s="1" t="inlineStr">
        <is>
          <t>Détecteur LocoAddr v3.1 (Locoduino) — BOM</t>
        </is>
      </c>
    </row>
    <row r="2" ht="13" customHeight="1"/>
    <row r="3" ht="13" customHeight="1">
      <c r="A3" s="2" t="inlineStr">
        <is>
          <t>Repère</t>
        </is>
      </c>
      <c r="B3" s="2" t="inlineStr">
        <is>
          <t>Quantité</t>
        </is>
      </c>
      <c r="C3" s="2" t="inlineStr">
        <is>
          <t>Valeur</t>
        </is>
      </c>
      <c r="D3" s="2" t="inlineStr">
        <is>
          <t>Rôle</t>
        </is>
      </c>
      <c r="E3" s="2" t="inlineStr">
        <is>
          <t>Option</t>
        </is>
      </c>
      <c r="F3" s="2" t="inlineStr">
        <is>
          <t>Référence achat</t>
        </is>
      </c>
    </row>
    <row r="4" ht="13" customHeight="1">
      <c r="A4" s="5" t="inlineStr">
        <is>
          <t>C1</t>
        </is>
      </c>
      <c r="B4" s="6" t="n">
        <v>1</v>
      </c>
      <c r="C4" s="5" t="inlineStr">
        <is>
          <t>220 µF / 35 V</t>
        </is>
      </c>
      <c r="D4" s="7" t="inlineStr">
        <is>
          <t>réservoir avant 78L05</t>
        </is>
      </c>
      <c r="E4" s="5" t="inlineStr">
        <is>
          <t>Base</t>
        </is>
      </c>
      <c r="F4" s="5" t="inlineStr">
        <is>
          <t>Condensateur électrolytique 220 µF / 35 V</t>
        </is>
      </c>
    </row>
    <row r="5" ht="13" customHeight="1">
      <c r="A5" s="5" t="inlineStr">
        <is>
          <t>C2</t>
        </is>
      </c>
      <c r="B5" s="6" t="n">
        <v>1</v>
      </c>
      <c r="C5" s="5" t="inlineStr">
        <is>
          <t>100 µF / 35 V</t>
        </is>
      </c>
      <c r="D5" s="7" t="inlineStr">
        <is>
          <t>réservoir du rail négatif</t>
        </is>
      </c>
      <c r="E5" s="5" t="inlineStr">
        <is>
          <t>Base</t>
        </is>
      </c>
      <c r="F5" s="5" t="inlineStr">
        <is>
          <t>Condensateur électrolytique 100 µF / 35 V</t>
        </is>
      </c>
    </row>
    <row r="6" ht="13" customHeight="1">
      <c r="A6" s="5" t="inlineStr">
        <is>
          <t>C3</t>
        </is>
      </c>
      <c r="B6" s="6" t="n">
        <v>1</v>
      </c>
      <c r="C6" s="5" t="inlineStr">
        <is>
          <t>100 nF</t>
        </is>
      </c>
      <c r="D6" s="7" t="inlineStr">
        <is>
          <t>sortie 78L05</t>
        </is>
      </c>
      <c r="E6" s="5" t="inlineStr">
        <is>
          <t>Base</t>
        </is>
      </c>
      <c r="F6" s="5" t="inlineStr">
        <is>
          <t>Condensateur céramique 100 nF</t>
        </is>
      </c>
    </row>
    <row r="7" ht="13" customHeight="1">
      <c r="A7" s="5" t="inlineStr">
        <is>
          <t>C4</t>
        </is>
      </c>
      <c r="B7" s="6" t="n">
        <v>1</v>
      </c>
      <c r="C7" s="5" t="inlineStr">
        <is>
          <t>100 µF / 35 V</t>
        </is>
      </c>
      <c r="D7" s="7" t="inlineStr">
        <is>
          <t>+5 V</t>
        </is>
      </c>
      <c r="E7" s="5" t="inlineStr">
        <is>
          <t>Base</t>
        </is>
      </c>
      <c r="F7" s="5" t="inlineStr">
        <is>
          <t>Condensateur électrolytique 100 µF / 35 V</t>
        </is>
      </c>
    </row>
    <row r="8" ht="13" customHeight="1">
      <c r="A8" s="5" t="inlineStr">
        <is>
          <t>C6</t>
        </is>
      </c>
      <c r="B8" s="6" t="n">
        <v>1</v>
      </c>
      <c r="C8" s="5" t="inlineStr">
        <is>
          <t>680 pF</t>
        </is>
      </c>
      <c r="D8" s="7" t="inlineStr">
        <is>
          <t>filtre R14/C6 (données)</t>
        </is>
      </c>
      <c r="E8" s="5" t="inlineStr">
        <is>
          <t>Base</t>
        </is>
      </c>
      <c r="F8" s="5" t="inlineStr">
        <is>
          <t>Condensateur céramique 680 pF</t>
        </is>
      </c>
    </row>
    <row r="9" ht="13" customHeight="1">
      <c r="A9" s="5" t="inlineStr">
        <is>
          <t>C7</t>
        </is>
      </c>
      <c r="B9" s="6" t="n">
        <v>1</v>
      </c>
      <c r="C9" s="5" t="inlineStr">
        <is>
          <t>1 nF</t>
        </is>
      </c>
      <c r="D9" s="7" t="inlineStr">
        <is>
          <t>filtre R11/C7 (fenêtre cutout)</t>
        </is>
      </c>
      <c r="E9" s="5" t="inlineStr">
        <is>
          <t>Base</t>
        </is>
      </c>
      <c r="F9" s="5" t="inlineStr">
        <is>
          <t>Condensateur céramique 1 nF</t>
        </is>
      </c>
    </row>
    <row r="10" ht="13" customHeight="1">
      <c r="A10" s="5" t="inlineStr">
        <is>
          <t>C8</t>
        </is>
      </c>
      <c r="B10" s="6" t="n">
        <v>1</v>
      </c>
      <c r="C10" s="5" t="inlineStr">
        <is>
          <t>100 nF</t>
        </is>
      </c>
      <c r="D10" s="7" t="inlineStr">
        <is>
          <t>découplage 6N137 (broches 8–5)</t>
        </is>
      </c>
      <c r="E10" s="5" t="inlineStr">
        <is>
          <t>Base</t>
        </is>
      </c>
      <c r="F10" s="5" t="inlineStr">
        <is>
          <t>Condensateur céramique 100 nF</t>
        </is>
      </c>
    </row>
    <row r="11" ht="13" customHeight="1">
      <c r="A11" s="5" t="inlineStr">
        <is>
          <t>C9</t>
        </is>
      </c>
      <c r="B11" s="6" t="n">
        <v>1</v>
      </c>
      <c r="C11" s="5" t="inlineStr">
        <is>
          <t>100 nF</t>
        </is>
      </c>
      <c r="D11" s="7" t="inlineStr">
        <is>
          <t>découplage 74HC02 (ex-C5 de l'ancienne BOM)</t>
        </is>
      </c>
      <c r="E11" s="5" t="inlineStr">
        <is>
          <t>Base</t>
        </is>
      </c>
      <c r="F11" s="5" t="inlineStr">
        <is>
          <t>Condensateur céramique 100 nF</t>
        </is>
      </c>
    </row>
    <row r="12" ht="13" customHeight="1">
      <c r="A12" s="5" t="inlineStr">
        <is>
          <t>C10</t>
        </is>
      </c>
      <c r="B12" s="6" t="n">
        <v>1</v>
      </c>
      <c r="C12" s="5" t="inlineStr">
        <is>
          <t>100 nF</t>
        </is>
      </c>
      <c r="D12" s="7" t="inlineStr">
        <is>
          <t>découplage LM339 (broches 3–12)</t>
        </is>
      </c>
      <c r="E12" s="5" t="inlineStr">
        <is>
          <t>Base</t>
        </is>
      </c>
      <c r="F12" s="5" t="inlineStr">
        <is>
          <t>Condensateur céramique 100 nF</t>
        </is>
      </c>
    </row>
    <row r="13" ht="13" customHeight="1">
      <c r="A13" s="5" t="inlineStr">
        <is>
          <t>D1, D2, D3</t>
        </is>
      </c>
      <c r="B13" s="6" t="n">
        <v>3</v>
      </c>
      <c r="C13" s="5" t="inlineStr">
        <is>
          <t>1N4007</t>
        </is>
      </c>
      <c r="D13" s="7" t="inlineStr">
        <is>
          <t>redressement +, redressement −, écrêtage −0,7 V</t>
        </is>
      </c>
      <c r="E13" s="5" t="inlineStr">
        <is>
          <t>Base</t>
        </is>
      </c>
      <c r="F13" s="5" t="inlineStr">
        <is>
          <t>Diode 1N4007</t>
        </is>
      </c>
    </row>
    <row r="14" ht="13" customHeight="1">
      <c r="A14" s="5" t="inlineStr">
        <is>
          <t>D4, D5</t>
        </is>
      </c>
      <c r="B14" s="6" t="n">
        <v>2</v>
      </c>
      <c r="C14" s="5" t="inlineStr">
        <is>
          <t>SB320 (ou 1N540x)</t>
        </is>
      </c>
      <c r="D14" s="7" t="inlineStr">
        <is>
          <t>écrêtage du shunt, en antiparallèle</t>
        </is>
      </c>
      <c r="E14" s="5" t="inlineStr">
        <is>
          <t>Base</t>
        </is>
      </c>
      <c r="F14" s="5" t="inlineStr">
        <is>
          <t>Diode Schottky SB320</t>
        </is>
      </c>
    </row>
    <row r="15" ht="13" customHeight="1">
      <c r="A15" s="5" t="inlineStr">
        <is>
          <t>R1, R2</t>
        </is>
      </c>
      <c r="B15" s="6" t="n">
        <v>2</v>
      </c>
      <c r="C15" s="5" t="inlineStr">
        <is>
          <t>1 kΩ</t>
        </is>
      </c>
      <c r="D15" s="7" t="inlineStr">
        <is>
          <t>alimentation du rail négatif</t>
        </is>
      </c>
      <c r="E15" s="5" t="inlineStr">
        <is>
          <t>Base</t>
        </is>
      </c>
      <c r="F15" s="5" t="inlineStr">
        <is>
          <t>Résistance 1 kΩ 0,25 W</t>
        </is>
      </c>
    </row>
    <row r="16" ht="13" customHeight="1">
      <c r="A16" s="5" t="inlineStr">
        <is>
          <t>R3</t>
        </is>
      </c>
      <c r="B16" s="6" t="n">
        <v>1</v>
      </c>
      <c r="C16" s="5" t="inlineStr">
        <is>
          <t>270 kΩ</t>
        </is>
      </c>
      <c r="D16" s="7" t="inlineStr">
        <is>
          <t>référence +18 mV (avec R4)</t>
        </is>
      </c>
      <c r="E16" s="5" t="inlineStr">
        <is>
          <t>Base</t>
        </is>
      </c>
      <c r="F16" s="5" t="inlineStr">
        <is>
          <t>Résistance 270 kΩ 0,25 W</t>
        </is>
      </c>
    </row>
    <row r="17" ht="13" customHeight="1">
      <c r="A17" s="5" t="inlineStr">
        <is>
          <t>R4</t>
        </is>
      </c>
      <c r="B17" s="6" t="n">
        <v>1</v>
      </c>
      <c r="C17" s="5" t="inlineStr">
        <is>
          <t>1 kΩ</t>
        </is>
      </c>
      <c r="D17" s="7" t="inlineStr">
        <is>
          <t>référence +18 mV</t>
        </is>
      </c>
      <c r="E17" s="5" t="inlineStr">
        <is>
          <t>Base</t>
        </is>
      </c>
      <c r="F17" s="5" t="inlineStr">
        <is>
          <t>Résistance 1 kΩ 0,25 W</t>
        </is>
      </c>
    </row>
    <row r="18" ht="13" customHeight="1">
      <c r="A18" s="5" t="inlineStr">
        <is>
          <t>R5</t>
        </is>
      </c>
      <c r="B18" s="6" t="n">
        <v>1</v>
      </c>
      <c r="C18" s="5" t="inlineStr">
        <is>
          <t>33 kΩ (27 kΩ possible)</t>
        </is>
      </c>
      <c r="D18" s="7" t="inlineStr">
        <is>
          <t>référence −18 mV (avec R6)</t>
        </is>
      </c>
      <c r="E18" s="5" t="inlineStr">
        <is>
          <t>Base</t>
        </is>
      </c>
      <c r="F18" s="5" t="inlineStr">
        <is>
          <t>Résistance 33 kΩ 0,25 W</t>
        </is>
      </c>
    </row>
    <row r="19" ht="13" customHeight="1">
      <c r="A19" s="5" t="inlineStr">
        <is>
          <t>R6</t>
        </is>
      </c>
      <c r="B19" s="6" t="n">
        <v>1</v>
      </c>
      <c r="C19" s="5" t="inlineStr">
        <is>
          <t>820 Ω</t>
        </is>
      </c>
      <c r="D19" s="7" t="inlineStr">
        <is>
          <t>référence −18 mV</t>
        </is>
      </c>
      <c r="E19" s="5" t="inlineStr">
        <is>
          <t>Base</t>
        </is>
      </c>
      <c r="F19" s="5" t="inlineStr">
        <is>
          <t>Résistance 820 Ω 0,25 W</t>
        </is>
      </c>
    </row>
    <row r="20" ht="13" customHeight="1">
      <c r="A20" s="5" t="inlineStr">
        <is>
          <t>R7</t>
        </is>
      </c>
      <c r="B20" s="6" t="n">
        <v>1</v>
      </c>
      <c r="C20" s="5" t="inlineStr">
        <is>
          <t>1,8 Ω / 1 W (1,5 Ω possible)</t>
        </is>
      </c>
      <c r="D20" s="7" t="inlineStr">
        <is>
          <t>shunt de mesure</t>
        </is>
      </c>
      <c r="E20" s="5" t="inlineStr">
        <is>
          <t>Base</t>
        </is>
      </c>
      <c r="F20" s="5" t="inlineStr">
        <is>
          <t>Résistance 1,8 Ω 1 W</t>
        </is>
      </c>
    </row>
    <row r="21" ht="13" customHeight="1">
      <c r="A21" s="5" t="inlineStr">
        <is>
          <t>R8</t>
        </is>
      </c>
      <c r="B21" s="6" t="n">
        <v>1</v>
      </c>
      <c r="C21" s="5" t="inlineStr">
        <is>
          <t>100 kΩ</t>
        </is>
      </c>
      <c r="D21" s="7" t="inlineStr">
        <is>
          <t>diviseur fenêtre cutout</t>
        </is>
      </c>
      <c r="E21" s="5" t="inlineStr">
        <is>
          <t>Base</t>
        </is>
      </c>
      <c r="F21" s="5" t="inlineStr">
        <is>
          <t>Résistance 100 kΩ 0,25 W</t>
        </is>
      </c>
    </row>
    <row r="22" ht="13" customHeight="1">
      <c r="A22" s="5" t="inlineStr">
        <is>
          <t>R9</t>
        </is>
      </c>
      <c r="B22" s="6" t="n">
        <v>1</v>
      </c>
      <c r="C22" s="5" t="inlineStr">
        <is>
          <t>1 kΩ</t>
        </is>
      </c>
      <c r="D22" s="7" t="inlineStr">
        <is>
          <t>diviseur fenêtre cutout</t>
        </is>
      </c>
      <c r="E22" s="5" t="inlineStr">
        <is>
          <t>Base</t>
        </is>
      </c>
      <c r="F22" s="5" t="inlineStr">
        <is>
          <t>Résistance 1 kΩ 0,25 W</t>
        </is>
      </c>
    </row>
    <row r="23" ht="13" customHeight="1">
      <c r="A23" s="5" t="inlineStr">
        <is>
          <t>R10, R12, R13</t>
        </is>
      </c>
      <c r="B23" s="6" t="n">
        <v>3</v>
      </c>
      <c r="C23" s="5" t="inlineStr">
        <is>
          <t>10 kΩ</t>
        </is>
      </c>
      <c r="D23" s="7" t="inlineStr">
        <is>
          <t>tirages des sorties du LM339</t>
        </is>
      </c>
      <c r="E23" s="5" t="inlineStr">
        <is>
          <t>Base</t>
        </is>
      </c>
      <c r="F23" s="5" t="inlineStr">
        <is>
          <t>Résistance 10 kΩ 0,25 W</t>
        </is>
      </c>
    </row>
    <row r="24" ht="13" customHeight="1">
      <c r="A24" s="5" t="inlineStr">
        <is>
          <t>R11, R14</t>
        </is>
      </c>
      <c r="B24" s="6" t="n">
        <v>2</v>
      </c>
      <c r="C24" s="5" t="inlineStr">
        <is>
          <t>470 Ω</t>
        </is>
      </c>
      <c r="D24" s="7" t="inlineStr">
        <is>
          <t>filtres RC</t>
        </is>
      </c>
      <c r="E24" s="5" t="inlineStr">
        <is>
          <t>Base</t>
        </is>
      </c>
      <c r="F24" s="5" t="inlineStr">
        <is>
          <t>Résistance 470 Ω 0,25 W</t>
        </is>
      </c>
    </row>
    <row r="25" ht="13" customHeight="1">
      <c r="A25" s="5" t="inlineStr">
        <is>
          <t>R15</t>
        </is>
      </c>
      <c r="B25" s="6" t="n">
        <v>1</v>
      </c>
      <c r="C25" s="5" t="inlineStr">
        <is>
          <t>1 kΩ</t>
        </is>
      </c>
      <c r="D25" s="7" t="inlineStr">
        <is>
          <t>LED témoin</t>
        </is>
      </c>
      <c r="E25" s="5" t="inlineStr">
        <is>
          <t>Base</t>
        </is>
      </c>
      <c r="F25" s="5" t="inlineStr">
        <is>
          <t>Résistance 1 kΩ 0,25 W</t>
        </is>
      </c>
    </row>
    <row r="26" ht="13" customHeight="1">
      <c r="A26" s="5" t="inlineStr">
        <is>
          <t>R16</t>
        </is>
      </c>
      <c r="B26" s="6" t="n">
        <v>1</v>
      </c>
      <c r="C26" s="5" t="inlineStr">
        <is>
          <t>270 Ω</t>
        </is>
      </c>
      <c r="D26" s="7" t="inlineStr">
        <is>
          <t>LED du 6N137</t>
        </is>
      </c>
      <c r="E26" s="5" t="inlineStr">
        <is>
          <t>Base</t>
        </is>
      </c>
      <c r="F26" s="5" t="inlineStr">
        <is>
          <t>Résistance 270 Ω 0,25 W</t>
        </is>
      </c>
    </row>
    <row r="27" ht="13" customHeight="1">
      <c r="A27" s="5" t="inlineStr">
        <is>
          <t>R17</t>
        </is>
      </c>
      <c r="B27" s="6" t="n">
        <v>1</v>
      </c>
      <c r="C27" s="5" t="inlineStr">
        <is>
          <t>2,2 kΩ</t>
        </is>
      </c>
      <c r="D27" s="7" t="inlineStr">
        <is>
          <t>tirage de la sortie vers VIO</t>
        </is>
      </c>
      <c r="E27" s="5" t="inlineStr">
        <is>
          <t>Base</t>
        </is>
      </c>
      <c r="F27" s="5" t="inlineStr">
        <is>
          <t>Résistance 2,2 kΩ 0,25 W</t>
        </is>
      </c>
    </row>
    <row r="28" ht="13" customHeight="1">
      <c r="A28" s="5" t="inlineStr">
        <is>
          <t>R18, R19</t>
        </is>
      </c>
      <c r="B28" s="6" t="n">
        <v>2</v>
      </c>
      <c r="C28" s="5" t="inlineStr">
        <is>
          <t>1 kΩ</t>
        </is>
      </c>
      <c r="D28" s="7" t="inlineStr">
        <is>
          <t>en série sur 2A et 2B du 74HC02</t>
        </is>
      </c>
      <c r="E28" s="5" t="inlineStr">
        <is>
          <t>Base</t>
        </is>
      </c>
      <c r="F28" s="5" t="inlineStr">
        <is>
          <t>Résistance 1 kΩ 0,25 W</t>
        </is>
      </c>
    </row>
    <row r="29" ht="13" customHeight="1">
      <c r="A29" s="5" t="inlineStr">
        <is>
          <t>IC1</t>
        </is>
      </c>
      <c r="B29" s="6" t="n">
        <v>1</v>
      </c>
      <c r="C29" s="5" t="inlineStr">
        <is>
          <t>LM339N</t>
        </is>
      </c>
      <c r="D29" s="7" t="inlineStr">
        <is>
          <t>4 comparateurs</t>
        </is>
      </c>
      <c r="E29" s="5" t="inlineStr">
        <is>
          <t>Base</t>
        </is>
      </c>
      <c r="F29" s="5" t="inlineStr">
        <is>
          <t>LM339N (DIP-14)</t>
        </is>
      </c>
    </row>
    <row r="30" ht="13" customHeight="1">
      <c r="A30" s="5" t="inlineStr">
        <is>
          <t>IC2</t>
        </is>
      </c>
      <c r="B30" s="6" t="n">
        <v>1</v>
      </c>
      <c r="C30" s="5" t="inlineStr">
        <is>
          <t>78L05</t>
        </is>
      </c>
      <c r="D30" s="7" t="inlineStr">
        <is>
          <t>régulateur +5 V</t>
        </is>
      </c>
      <c r="E30" s="5" t="inlineStr">
        <is>
          <t>Base</t>
        </is>
      </c>
      <c r="F30" s="5" t="inlineStr">
        <is>
          <t>Régulateur 78L05 (TO-92)</t>
        </is>
      </c>
    </row>
    <row r="31" ht="13" customHeight="1">
      <c r="A31" s="5" t="inlineStr">
        <is>
          <t>U5</t>
        </is>
      </c>
      <c r="B31" s="6" t="n">
        <v>1</v>
      </c>
      <c r="C31" s="5" t="inlineStr">
        <is>
          <t>74HC02 (ou 74HCT02)</t>
        </is>
      </c>
      <c r="D31" s="7" t="inlineStr">
        <is>
          <t>logique NOR</t>
        </is>
      </c>
      <c r="E31" s="5" t="inlineStr">
        <is>
          <t>Base</t>
        </is>
      </c>
      <c r="F31" s="5" t="inlineStr">
        <is>
          <t>74HC02 (DIP-14)</t>
        </is>
      </c>
    </row>
    <row r="32" ht="13" customHeight="1">
      <c r="A32" s="5" t="inlineStr">
        <is>
          <t>U8</t>
        </is>
      </c>
      <c r="B32" s="6" t="n">
        <v>1</v>
      </c>
      <c r="C32" s="5" t="inlineStr">
        <is>
          <t>6N137</t>
        </is>
      </c>
      <c r="D32" s="7" t="inlineStr">
        <is>
          <t>isolation de la sortie</t>
        </is>
      </c>
      <c r="E32" s="5" t="inlineStr">
        <is>
          <t>Base</t>
        </is>
      </c>
      <c r="F32" s="5" t="inlineStr">
        <is>
          <t>Optocoupleur 6N137 (DIP-8)</t>
        </is>
      </c>
    </row>
    <row r="33" ht="13" customHeight="1">
      <c r="A33" s="5" t="inlineStr">
        <is>
          <t>LED1</t>
        </is>
      </c>
      <c r="B33" s="6" t="n">
        <v>1</v>
      </c>
      <c r="C33" s="5" t="inlineStr">
        <is>
          <t>3 mm verte</t>
        </is>
      </c>
      <c r="D33" s="7" t="inlineStr">
        <is>
          <t>témoin d'alimentation</t>
        </is>
      </c>
      <c r="E33" s="5" t="inlineStr">
        <is>
          <t>Base</t>
        </is>
      </c>
      <c r="F33" s="5" t="inlineStr">
        <is>
          <t>LED 3 mm verte</t>
        </is>
      </c>
    </row>
    <row r="34" ht="13" customHeight="1">
      <c r="A34" s="5" t="inlineStr">
        <is>
          <t>J19</t>
        </is>
      </c>
      <c r="B34" s="6" t="n">
        <v>1</v>
      </c>
      <c r="C34" s="5" t="inlineStr">
        <is>
          <t>bornier 3 points</t>
        </is>
      </c>
      <c r="D34" s="7" t="inlineStr">
        <is>
          <t>sortie : 5 V µC / OUT / GND µC</t>
        </is>
      </c>
      <c r="E34" s="5" t="inlineStr">
        <is>
          <t>Base</t>
        </is>
      </c>
      <c r="F34" s="5" t="inlineStr">
        <is>
          <t>Bornier à vis 3 points, pas 5,08 mm</t>
        </is>
      </c>
    </row>
    <row r="35" ht="13" customHeight="1">
      <c r="A35" s="5" t="inlineStr">
        <is>
          <t>J22</t>
        </is>
      </c>
      <c r="B35" s="6" t="n">
        <v>1</v>
      </c>
      <c r="C35" s="5" t="inlineStr">
        <is>
          <t>bornier 2 points</t>
        </is>
      </c>
      <c r="D35" s="7" t="inlineStr">
        <is>
          <t>VIO / DIR</t>
        </is>
      </c>
      <c r="E35" s="5" t="inlineStr">
        <is>
          <t>Base</t>
        </is>
      </c>
      <c r="F35" s="5" t="inlineStr">
        <is>
          <t>Bornier à vis 2 points, pas 5,08 mm</t>
        </is>
      </c>
    </row>
    <row r="36" ht="13" customHeight="1">
      <c r="A36" s="5" t="inlineStr">
        <is>
          <t>J20, J21</t>
        </is>
      </c>
      <c r="B36" s="6" t="n">
        <v>2</v>
      </c>
      <c r="C36" s="5" t="inlineStr">
        <is>
          <t>bornier 2 points</t>
        </is>
      </c>
      <c r="D36" s="7" t="inlineStr">
        <is>
          <t>DCC out, DCC in</t>
        </is>
      </c>
      <c r="E36" s="5" t="inlineStr">
        <is>
          <t>Base</t>
        </is>
      </c>
      <c r="F36" s="5" t="inlineStr">
        <is>
          <t>Bornier à vis 2 points, pas 5,08 mm</t>
        </is>
      </c>
    </row>
    <row r="37" ht="13" customHeight="1">
      <c r="A37" s="8" t="inlineStr">
        <is>
          <t>U6</t>
        </is>
      </c>
      <c r="B37" s="9" t="n">
        <v>1</v>
      </c>
      <c r="C37" s="8" t="inlineStr">
        <is>
          <t>74HC74</t>
        </is>
      </c>
      <c r="D37" s="10" t="inlineStr">
        <is>
          <t>bascule D, mémorise le sens</t>
        </is>
      </c>
      <c r="E37" s="8" t="inlineStr">
        <is>
          <t>Option</t>
        </is>
      </c>
      <c r="F37" s="8" t="inlineStr">
        <is>
          <t>74HC74 (DIP-14)</t>
        </is>
      </c>
    </row>
    <row r="38" ht="13" customHeight="1">
      <c r="A38" s="8" t="inlineStr">
        <is>
          <t>U7</t>
        </is>
      </c>
      <c r="B38" s="9" t="n">
        <v>1</v>
      </c>
      <c r="C38" s="8" t="inlineStr">
        <is>
          <t>PC817</t>
        </is>
      </c>
      <c r="D38" s="10" t="inlineStr">
        <is>
          <t>isolation de la sortie DIR</t>
        </is>
      </c>
      <c r="E38" s="8" t="inlineStr">
        <is>
          <t>Option</t>
        </is>
      </c>
      <c r="F38" s="8" t="inlineStr">
        <is>
          <t>Optocoupleur PC817 (DIP-4)</t>
        </is>
      </c>
    </row>
    <row r="39" ht="13" customHeight="1">
      <c r="A39" s="8" t="inlineStr">
        <is>
          <t>C11</t>
        </is>
      </c>
      <c r="B39" s="9" t="n">
        <v>1</v>
      </c>
      <c r="C39" s="8" t="inlineStr">
        <is>
          <t>100 nF</t>
        </is>
      </c>
      <c r="D39" s="10" t="inlineStr">
        <is>
          <t>découplage du 74HC74 (broches 14–7)</t>
        </is>
      </c>
      <c r="E39" s="8" t="inlineStr">
        <is>
          <t>Option</t>
        </is>
      </c>
      <c r="F39" s="8" t="inlineStr">
        <is>
          <t>Condensateur céramique 100 nF</t>
        </is>
      </c>
    </row>
    <row r="40" ht="13" customHeight="1">
      <c r="A40" s="8" t="inlineStr">
        <is>
          <t>R20</t>
        </is>
      </c>
      <c r="B40" s="9" t="n">
        <v>1</v>
      </c>
      <c r="C40" s="8" t="inlineStr">
        <is>
          <t>1 kΩ</t>
        </is>
      </c>
      <c r="D40" s="10" t="inlineStr">
        <is>
          <t>LED du PC817</t>
        </is>
      </c>
      <c r="E40" s="8" t="inlineStr">
        <is>
          <t>Option</t>
        </is>
      </c>
      <c r="F40" s="8" t="inlineStr">
        <is>
          <t>Résistance 1 kΩ 0,25 W</t>
        </is>
      </c>
    </row>
    <row r="41" ht="13" customHeight="1">
      <c r="A41" s="8" t="inlineStr">
        <is>
          <t>R21</t>
        </is>
      </c>
      <c r="B41" s="9" t="n">
        <v>1</v>
      </c>
      <c r="C41" s="8" t="inlineStr">
        <is>
          <t>4,7 kΩ</t>
        </is>
      </c>
      <c r="D41" s="10" t="inlineStr">
        <is>
          <t>tirage de DIR vers VIO</t>
        </is>
      </c>
      <c r="E41" s="8" t="inlineStr">
        <is>
          <t>Option</t>
        </is>
      </c>
      <c r="F41" s="8" t="inlineStr">
        <is>
          <t>Résistance 4,7 kΩ 0,25 W</t>
        </is>
      </c>
    </row>
    <row r="42" ht="13" customHeight="1">
      <c r="A42" s="8" t="inlineStr">
        <is>
          <t>R22</t>
        </is>
      </c>
      <c r="B42" s="9" t="n">
        <v>1</v>
      </c>
      <c r="C42" s="8" t="inlineStr">
        <is>
          <t>1 kΩ</t>
        </is>
      </c>
      <c r="D42" s="10" t="inlineStr">
        <is>
          <t>LED bicolore</t>
        </is>
      </c>
      <c r="E42" s="8" t="inlineStr">
        <is>
          <t>Option</t>
        </is>
      </c>
      <c r="F42" s="8" t="inlineStr">
        <is>
          <t>Résistance 1 kΩ 0,25 W</t>
        </is>
      </c>
    </row>
    <row r="43" ht="13" customHeight="1">
      <c r="A43" s="8" t="inlineStr">
        <is>
          <t>LED2</t>
        </is>
      </c>
      <c r="B43" s="9" t="n">
        <v>1</v>
      </c>
      <c r="C43" s="8" t="inlineStr">
        <is>
          <t>LED bicolore 2 pattes (tête-bêche)</t>
        </is>
      </c>
      <c r="D43" s="10" t="inlineStr">
        <is>
          <t>affichage du sens de pose</t>
        </is>
      </c>
      <c r="E43" s="8" t="inlineStr">
        <is>
          <t>Option</t>
        </is>
      </c>
      <c r="F43" s="8" t="inlineStr">
        <is>
          <t>LED bicolore 3 mm, 2 pattes</t>
        </is>
      </c>
    </row>
    <row r="44" ht="13" customHeight="1"/>
    <row r="45" ht="13" customHeight="1">
      <c r="A45" s="3" t="inlineStr">
        <is>
          <t>Total (base 42 + option 7)</t>
        </is>
      </c>
      <c r="B45" s="4">
        <f>SUM(B4:B43)</f>
        <v/>
      </c>
    </row>
  </sheetData>
  <pageMargins left="0.7" right="0.7" top="0.75" bottom="0.75" header="0.3" footer="0.3"/>
  <pageSetup orientation="landscape" paperSize="9" scale="88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Christophe BOBILLE</dc:creator>
  <dcterms:created xmlns:dcterms="http://purl.org/dc/terms/" xmlns:xsi="http://www.w3.org/2001/XMLSchema-instance" xsi:type="dcterms:W3CDTF">2026-10-21T11:43:22Z</dcterms:created>
  <dcterms:modified xmlns:dcterms="http://purl.org/dc/terms/" xmlns:xsi="http://www.w3.org/2001/XMLSchema-instance" xsi:type="dcterms:W3CDTF">2026-10-21T14:21:56Z</dcterms:modified>
  <cp:lastModifiedBy>Christophe BOBILLE</cp:lastModifiedBy>
  <cp:lastPrinted>2026-10-21T11:52:36Z</cp:lastPrinted>
</cp:coreProperties>
</file>